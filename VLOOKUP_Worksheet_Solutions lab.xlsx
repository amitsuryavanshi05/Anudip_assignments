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nudeep\"/>
    </mc:Choice>
  </mc:AlternateContent>
  <xr:revisionPtr revIDLastSave="0" documentId="8_{CBFBEBD4-C33D-4D7E-A38E-8B2AB22E47DB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B3" i="4"/>
  <c r="B4" i="4"/>
  <c r="B5" i="4"/>
  <c r="B6" i="4"/>
  <c r="B7" i="4"/>
  <c r="B2" i="4"/>
  <c r="A7" i="4"/>
  <c r="A3" i="4"/>
  <c r="A4" i="4"/>
  <c r="A5" i="4"/>
  <c r="A6" i="4"/>
  <c r="A2" i="4"/>
  <c r="B2" i="3"/>
  <c r="G3" i="2"/>
  <c r="G4" i="2"/>
  <c r="G5" i="2"/>
  <c r="G6" i="2"/>
  <c r="G7" i="2"/>
  <c r="G2" i="2"/>
  <c r="H7" i="2"/>
  <c r="H3" i="2"/>
  <c r="H4" i="2"/>
  <c r="H5" i="2"/>
  <c r="H6" i="2"/>
  <c r="H2" i="2"/>
  <c r="F3" i="2"/>
  <c r="F4" i="2"/>
  <c r="F5" i="2"/>
  <c r="F6" i="2"/>
  <c r="F7" i="2"/>
  <c r="F2" i="2"/>
  <c r="E7" i="2"/>
  <c r="E6" i="2"/>
  <c r="E3" i="2"/>
  <c r="E4" i="2"/>
  <c r="E5" i="2"/>
  <c r="E2" i="2"/>
  <c r="D7" i="2"/>
  <c r="D6" i="2"/>
  <c r="D3" i="2"/>
  <c r="D4" i="2"/>
  <c r="D5" i="2"/>
  <c r="D2" i="2"/>
</calcChain>
</file>

<file path=xl/sharedStrings.xml><?xml version="1.0" encoding="utf-8"?>
<sst xmlns="http://schemas.openxmlformats.org/spreadsheetml/2006/main" count="32" uniqueCount="31">
  <si>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</si>
  <si>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</si>
  <si>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</si>
  <si>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</si>
  <si>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</si>
  <si>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</si>
  <si>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</si>
  <si>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</si>
  <si>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</si>
  <si>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</si>
  <si>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</si>
  <si>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</si>
  <si>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</si>
  <si>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</si>
  <si>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</si>
  <si>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</si>
  <si>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</si>
  <si>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</si>
  <si>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</si>
  <si>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</si>
  <si>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</si>
  <si>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</si>
  <si>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</si>
  <si>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</si>
  <si>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maximum order value</t>
  </si>
  <si>
    <t>result</t>
  </si>
  <si>
    <t>product not order</t>
  </si>
  <si>
    <t>all product have been ordered</t>
  </si>
  <si>
    <t>product_id</t>
  </si>
  <si>
    <t>product 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</si>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</sst>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D2" sqref="D2"/>
    </sheetView>
  </sheetViews>
  <sheetFormatPr defaultRowHeight="14.4" x14ac:dyDescent="0.3"/>
  <cols>
    <col min="1" max="2" width="14" customWidth="1"/>
    <col min="3" max="3" width="10" customWidth="1"/>
    <col min="4" max="4" width="16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101</v>
      </c>
      <c r="B2" t="s">
        <v>3</v>
      </c>
      <c r="C2">
        <v>120</v>
      </c>
    </row>
    <row r="3" spans="1:3" x14ac:dyDescent="0.3">
      <c r="A3">
        <v>102</v>
      </c>
      <c r="B3" t="s">
        <v>4</v>
      </c>
      <c r="C3">
        <v>150</v>
      </c>
    </row>
    <row r="4" spans="1:3" x14ac:dyDescent="0.3">
      <c r="A4">
        <v>103</v>
      </c>
      <c r="B4" t="s">
        <v>5</v>
      </c>
      <c r="C4">
        <v>200</v>
      </c>
    </row>
    <row r="5" spans="1:3" x14ac:dyDescent="0.3">
      <c r="A5">
        <v>104</v>
      </c>
      <c r="B5" t="s">
        <v>6</v>
      </c>
      <c r="C5">
        <v>90</v>
      </c>
    </row>
    <row r="6" spans="1:3" x14ac:dyDescent="0.3">
      <c r="A6">
        <v>105</v>
      </c>
      <c r="B6" t="s">
        <v>7</v>
      </c>
      <c r="C6">
        <v>220</v>
      </c>
    </row>
    <row r="7" spans="1:3" x14ac:dyDescent="0.3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zoomScale="94" workbookViewId="0">
      <selection activeCell="A9" sqref="A9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4" width="27.33203125" customWidth="1"/>
    <col min="5" max="5" width="18.33203125" customWidth="1"/>
    <col min="6" max="6" width="15" customWidth="1"/>
    <col min="7" max="7" width="20" customWidth="1"/>
    <col min="8" max="8" width="20.44140625" customWidth="1"/>
  </cols>
  <sheetData>
    <row r="1" spans="1:8" x14ac:dyDescent="0.3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>
        <v>1</v>
      </c>
      <c r="B2">
        <v>101</v>
      </c>
      <c r="C2">
        <v>2</v>
      </c>
      <c r="D2" t="str">
        <f>VLOOKUP(B2,Products!A2:C7,2,FALSE)</f>
        <v>Product A</v>
      </c>
      <c r="E2">
        <f>VLOOKUP(B2,Products!A2:C7,3,0)</f>
        <v>120</v>
      </c>
      <c r="F2">
        <f>C2*E2</f>
        <v>240</v>
      </c>
      <c r="G2">
        <f>E2*90%</f>
        <v>108</v>
      </c>
      <c r="H2" t="str">
        <f>IF(ISNA(VLOOKUP(B2,Products!$A$2:$C$7,1,FALSE)),"Not Found","Exists")</f>
        <v>Exists</v>
      </c>
    </row>
    <row r="3" spans="1:8" x14ac:dyDescent="0.3">
      <c r="A3">
        <v>2</v>
      </c>
      <c r="B3">
        <v>103</v>
      </c>
      <c r="C3">
        <v>1</v>
      </c>
      <c r="D3" t="str">
        <f>VLOOKUP(B3,Products!A3:C8,2,FALSE)</f>
        <v>Product C</v>
      </c>
      <c r="E3">
        <f>VLOOKUP(B3,Products!A3:C8,3,0)</f>
        <v>200</v>
      </c>
      <c r="F3">
        <f t="shared" ref="F3:F7" si="0">C3*E3</f>
        <v>200</v>
      </c>
      <c r="G3">
        <f t="shared" ref="G3:G7" si="1">E3*90%</f>
        <v>180</v>
      </c>
      <c r="H3" t="str">
        <f>IF(ISNA(VLOOKUP(B3,Products!$A$2:$C$7,1,FALSE)),"Not Found","Exists")</f>
        <v>Exists</v>
      </c>
    </row>
    <row r="4" spans="1:8" x14ac:dyDescent="0.3">
      <c r="A4">
        <v>3</v>
      </c>
      <c r="B4">
        <v>105</v>
      </c>
      <c r="C4">
        <v>4</v>
      </c>
      <c r="D4" t="str">
        <f>VLOOKUP(B4,Products!A4:C9,2,FALSE)</f>
        <v>Product E</v>
      </c>
      <c r="E4">
        <f>VLOOKUP(B4,Products!A4:C9,3,0)</f>
        <v>220</v>
      </c>
      <c r="F4">
        <f t="shared" si="0"/>
        <v>880</v>
      </c>
      <c r="G4">
        <f t="shared" si="1"/>
        <v>198</v>
      </c>
      <c r="H4" t="str">
        <f>IF(ISNA(VLOOKUP(B4,Products!$A$2:$C$7,1,FALSE)),"Not Found","Exists")</f>
        <v>Exists</v>
      </c>
    </row>
    <row r="5" spans="1:8" x14ac:dyDescent="0.3">
      <c r="A5">
        <v>4</v>
      </c>
      <c r="B5">
        <v>106</v>
      </c>
      <c r="C5">
        <v>3</v>
      </c>
      <c r="D5" t="str">
        <f>VLOOKUP(B5,Products!A5:C10,2,FALSE)</f>
        <v>Product F</v>
      </c>
      <c r="E5">
        <f>VLOOKUP(B5,Products!A5:C10,3,0)</f>
        <v>130</v>
      </c>
      <c r="F5">
        <f t="shared" si="0"/>
        <v>390</v>
      </c>
      <c r="G5">
        <f t="shared" si="1"/>
        <v>117</v>
      </c>
      <c r="H5" t="str">
        <f>IF(ISNA(VLOOKUP(B5,Products!$A$2:$C$7,1,FALSE)),"Not Found","Exists")</f>
        <v>Exists</v>
      </c>
    </row>
    <row r="6" spans="1:8" x14ac:dyDescent="0.3">
      <c r="A6">
        <v>5</v>
      </c>
      <c r="B6">
        <v>102</v>
      </c>
      <c r="C6">
        <v>5</v>
      </c>
      <c r="D6" t="str">
        <f>VLOOKUP(B6,Products!A2:C7,2,FALSE)</f>
        <v>Product B</v>
      </c>
      <c r="E6">
        <f>VLOOKUP(B6,Products!A2:C7,3,0)</f>
        <v>150</v>
      </c>
      <c r="F6">
        <f t="shared" si="0"/>
        <v>750</v>
      </c>
      <c r="G6">
        <f t="shared" si="1"/>
        <v>135</v>
      </c>
      <c r="H6" t="str">
        <f>IF(ISNA(VLOOKUP(B6,Products!$A$2:$C$7,1,FALSE)),"Not Found","Exists")</f>
        <v>Exists</v>
      </c>
    </row>
    <row r="7" spans="1:8" x14ac:dyDescent="0.3">
      <c r="A7">
        <v>6</v>
      </c>
      <c r="B7">
        <v>104</v>
      </c>
      <c r="C7">
        <v>6</v>
      </c>
      <c r="D7" t="str">
        <f>VLOOKUP(B7,Products!A2:C7,2,FALSE)</f>
        <v>Product D</v>
      </c>
      <c r="E7">
        <f>VLOOKUP(B7,Products!A3:C8,3,0)</f>
        <v>90</v>
      </c>
      <c r="F7">
        <f t="shared" si="0"/>
        <v>540</v>
      </c>
      <c r="G7">
        <f t="shared" si="1"/>
        <v>81</v>
      </c>
      <c r="H7" t="str">
        <f>IF(ISNA(VLOOKUP(B7,Products!$A$2:$C$7,1,FALSE)),"Not Found","Exists")</f>
        <v>Exists</v>
      </c>
    </row>
    <row r="10" spans="1:8" x14ac:dyDescent="0.3">
      <c r="A10" t="s">
        <v>16</v>
      </c>
    </row>
    <row r="11" spans="1:8" x14ac:dyDescent="0.3">
      <c r="A11" t="s">
        <v>17</v>
      </c>
    </row>
    <row r="12" spans="1:8" x14ac:dyDescent="0.3">
      <c r="A12" t="s">
        <v>18</v>
      </c>
    </row>
    <row r="13" spans="1:8" x14ac:dyDescent="0.3">
      <c r="A13" t="s">
        <v>19</v>
      </c>
    </row>
    <row r="14" spans="1:8" x14ac:dyDescent="0.3">
      <c r="A14" t="s">
        <v>20</v>
      </c>
    </row>
    <row r="15" spans="1:8" x14ac:dyDescent="0.3">
      <c r="A15" t="s">
        <v>21</v>
      </c>
    </row>
    <row r="16" spans="1:8" x14ac:dyDescent="0.3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4" sqref="B4"/>
    </sheetView>
  </sheetViews>
  <sheetFormatPr defaultRowHeight="14.4" x14ac:dyDescent="0.3"/>
  <cols>
    <col min="1" max="1" width="42" customWidth="1"/>
    <col min="2" max="2" width="25.5546875" customWidth="1"/>
  </cols>
  <sheetData>
    <row r="1" spans="1:2" x14ac:dyDescent="0.3">
      <c r="A1" s="1" t="s">
        <v>23</v>
      </c>
      <c r="B1" s="1" t="s">
        <v>25</v>
      </c>
    </row>
    <row r="2" spans="1:2" x14ac:dyDescent="0.3">
      <c r="A2" t="s">
        <v>24</v>
      </c>
      <c r="B2">
        <f>MAX(Orders!F2:F7)</f>
        <v>880</v>
      </c>
    </row>
    <row r="3" spans="1:2" x14ac:dyDescent="0.3">
      <c r="A3" t="s">
        <v>26</v>
      </c>
      <c r="B3" t="s">
        <v>27</v>
      </c>
    </row>
    <row r="4" spans="1:2" x14ac:dyDescent="0.3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D13" sqref="D13"/>
    </sheetView>
  </sheetViews>
  <sheetFormatPr defaultRowHeight="14.4" x14ac:dyDescent="0.3"/>
  <cols>
    <col min="1" max="2" width="17" customWidth="1"/>
    <col min="3" max="3" width="37" customWidth="1"/>
  </cols>
  <sheetData>
    <row r="1" spans="1:3" x14ac:dyDescent="0.3">
      <c r="A1" s="1" t="s">
        <v>28</v>
      </c>
      <c r="B1" s="1" t="s">
        <v>29</v>
      </c>
      <c r="C1" s="1" t="s">
        <v>30</v>
      </c>
    </row>
    <row r="2" spans="1:3" x14ac:dyDescent="0.3">
      <c r="A2">
        <f>Products!A2</f>
        <v>101</v>
      </c>
      <c r="B2" t="str">
        <f>VLOOKUP(A2,Products!A2:C7,2,FALSE)</f>
        <v>Product A</v>
      </c>
      <c r="C2">
        <f>SUMIF(Orders!$B$2:$B$7,A2,Orders!$C$2:$C$7)</f>
        <v>2</v>
      </c>
    </row>
    <row r="3" spans="1:3" x14ac:dyDescent="0.3">
      <c r="A3">
        <f>Products!A3</f>
        <v>102</v>
      </c>
      <c r="B3" t="str">
        <f>VLOOKUP(A3,Products!A3:C8,2,FALSE)</f>
        <v>Product B</v>
      </c>
      <c r="C3">
        <f>SUMIF(Orders!$B$2:$B$7,A3,Orders!$C$2:$C$7)</f>
        <v>5</v>
      </c>
    </row>
    <row r="4" spans="1:3" x14ac:dyDescent="0.3">
      <c r="A4">
        <f>Products!A4</f>
        <v>103</v>
      </c>
      <c r="B4" t="str">
        <f>VLOOKUP(A4,Products!A4:C9,2,FALSE)</f>
        <v>Product C</v>
      </c>
      <c r="C4">
        <f>SUMIF(Orders!$B$2:$B$7,A4,Orders!$C$2:$C$7)</f>
        <v>1</v>
      </c>
    </row>
    <row r="5" spans="1:3" x14ac:dyDescent="0.3">
      <c r="A5">
        <f>Products!A5</f>
        <v>104</v>
      </c>
      <c r="B5" t="str">
        <f>VLOOKUP(A5,Products!A5:C10,2,FALSE)</f>
        <v>Product D</v>
      </c>
      <c r="C5">
        <f>SUMIF(Orders!$B$2:$B$7,A5,Orders!$C$2:$C$7)</f>
        <v>6</v>
      </c>
    </row>
    <row r="6" spans="1:3" x14ac:dyDescent="0.3">
      <c r="A6">
        <f>Products!A6</f>
        <v>105</v>
      </c>
      <c r="B6" t="str">
        <f>VLOOKUP(A6,Products!A6:C11,2,FALSE)</f>
        <v>Product E</v>
      </c>
      <c r="C6">
        <f>SUMIF(Orders!$B$2:$B$7,A6,Orders!$C$2:$C$7)</f>
        <v>4</v>
      </c>
    </row>
    <row r="7" spans="1:3" x14ac:dyDescent="0.3">
      <c r="A7">
        <f>Products!A7</f>
        <v>106</v>
      </c>
      <c r="B7" t="str">
        <f>VLOOKUP(A7,Products!A7:C12,2,FALSE)</f>
        <v>Product F</v>
      </c>
      <c r="C7">
        <f>SUMIF(Orders!$B$2:$B$7,A7,Orders!$C$2:$C$7)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amitsuryvanshi05@gmail.com</cp:lastModifiedBy>
  <dcterms:created xsi:type="dcterms:W3CDTF">2026-05-18T03:48:30Z</dcterms:created>
  <dcterms:modified xsi:type="dcterms:W3CDTF">2026-05-18T07:09:05Z</dcterms:modified>
</cp:coreProperties>
</file>